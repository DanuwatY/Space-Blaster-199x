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321BF42-86C2-48A6-9503-D47C8300FE4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การตอบแบบฟอร์ม 1" sheetId="1" r:id="rId1"/>
    <sheet name="สรุปผลและกราฟ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8" i="2" l="1"/>
  <c r="B48" i="2"/>
  <c r="D48" i="2" s="1"/>
  <c r="E47" i="2"/>
  <c r="D47" i="2"/>
  <c r="E46" i="2"/>
  <c r="D46" i="2"/>
  <c r="E45" i="2"/>
  <c r="D45" i="2"/>
  <c r="E44" i="2"/>
  <c r="D44" i="2"/>
  <c r="E43" i="2"/>
  <c r="D43" i="2"/>
  <c r="E42" i="2"/>
  <c r="D42" i="2"/>
  <c r="E41" i="2"/>
  <c r="D41" i="2"/>
  <c r="C13" i="2"/>
  <c r="B13" i="2"/>
  <c r="E48" i="2" l="1"/>
</calcChain>
</file>

<file path=xl/sharedStrings.xml><?xml version="1.0" encoding="utf-8"?>
<sst xmlns="http://schemas.openxmlformats.org/spreadsheetml/2006/main" count="96" uniqueCount="79">
  <si>
    <t>ประทับเวลา</t>
  </si>
  <si>
    <t>ชื่อ-นามสกุล</t>
  </si>
  <si>
    <t>อายุ</t>
  </si>
  <si>
    <t>โรงเรียน</t>
  </si>
  <si>
    <t xml:space="preserve">ตัวเกมสามารถเข้าใจวิธีการเล่นได้ง่าย </t>
  </si>
  <si>
    <t xml:space="preserve">เมนู ปุ่ม และส่วนต่างๆในเกมใช้งานง่าย  </t>
  </si>
  <si>
    <t xml:space="preserve">ภาพและกราฟิกภายในเกมมีความสวยงาม  </t>
  </si>
  <si>
    <t>ความเข้าใจง่ายของระบบควบคุม</t>
  </si>
  <si>
    <t>ในแต่ละLevelของเกมมีความสมเหตุสมผล</t>
  </si>
  <si>
    <t xml:space="preserve">การเล่นเกมมีความต่อเนื่องและไม่น่าเบื่อ  </t>
  </si>
  <si>
    <t>โดยรวมแล้วเกมมีความน่าสนใจและสนุกในการเล่นมากแค่ไหน</t>
  </si>
  <si>
    <t>ข้อเสนอแนะเพิ่มเติม</t>
  </si>
  <si>
    <t>ดู.ญ.ธารธารา อินทับ</t>
  </si>
  <si>
    <t>อนุบาบโรจนวิทย์</t>
  </si>
  <si>
    <t>ไม่มีดีมาก</t>
  </si>
  <si>
    <t>ณิริน ศิริธร</t>
  </si>
  <si>
    <t>โรจนวิทย์</t>
  </si>
  <si>
    <t>พนมพร</t>
  </si>
  <si>
    <t>วศ</t>
  </si>
  <si>
    <t>แควสินธุ์ เชิดวิรุณห์</t>
  </si>
  <si>
    <t>วังน้ำคู้ศึกษา</t>
  </si>
  <si>
    <t>ไอริญญ์ ชามพูนท</t>
  </si>
  <si>
    <t>รชต วิชฉิมพาลี</t>
  </si>
  <si>
    <t>นันดา กิตติมาลา</t>
  </si>
  <si>
    <t>NUDS</t>
  </si>
  <si>
    <t>ด.ญภคพร   จันทร์โต</t>
  </si>
  <si>
    <t>ด.ชธนภัทร พวกน้อย</t>
  </si>
  <si>
    <t>อนุบาลโรจนวิทย์</t>
  </si>
  <si>
    <t>ไม่มี</t>
  </si>
  <si>
    <t>กรรณิกา สุภาแก้ว</t>
  </si>
  <si>
    <t>โรงเรียนบ้านหนองผักบุ้ง</t>
  </si>
  <si>
    <t>ภัทร</t>
  </si>
  <si>
    <t>บ้านหนองผักบุ้ง</t>
  </si>
  <si>
    <t>อดิเรก เนียนเฮียน</t>
  </si>
  <si>
    <t>อัทธเมศ รุ่งเริก</t>
  </si>
  <si>
    <t>วังน้ำคู้</t>
  </si>
  <si>
    <t>ศิริพร เขื่อนแก้ว</t>
  </si>
  <si>
    <t>อบต เมืองเก่า</t>
  </si>
  <si>
    <t>ด.ญ.เบญญาพร โพสี</t>
  </si>
  <si>
    <t>อ.บ.ต เมืองเก่า</t>
  </si>
  <si>
    <t>ดญณัชชา  บุตรดามา</t>
  </si>
  <si>
    <t>อนุบาลกงไกรลาศ</t>
  </si>
  <si>
    <t>ประภัสสรา.     สอนด้วง</t>
  </si>
  <si>
    <t>บางระกำ</t>
  </si>
  <si>
    <t>ประภัสสร  สอนด้วง</t>
  </si>
  <si>
    <t>อิทธิพันธ์ สมบูรณ์ศรี</t>
  </si>
  <si>
    <t>ราษฎร์อุปถัมภ์</t>
  </si>
  <si>
    <t>ณัฐวัชต์  นิลเทศ</t>
  </si>
  <si>
    <t>รายงานสรุปผลแบบประเมินความพึงพอใจต่อเกม (ปรับปรุงกราฟให้อ่านง่าย)</t>
  </si>
  <si>
    <t>1. สรุปข้อมูลผู้ตอบแบบสอบถามตามช่วงอายุ</t>
  </si>
  <si>
    <t>ช่วงอายุ (ปี)</t>
  </si>
  <si>
    <t>จำนวน (คน)</t>
  </si>
  <si>
    <t>ร้อยละ (%)</t>
  </si>
  <si>
    <t>9 ปี</t>
  </si>
  <si>
    <t>10 ปี</t>
  </si>
  <si>
    <t>11 ปี</t>
  </si>
  <si>
    <t>12 ปี</t>
  </si>
  <si>
    <t>13 ปี</t>
  </si>
  <si>
    <t>15 ปี</t>
  </si>
  <si>
    <t>16 ปี</t>
  </si>
  <si>
    <t>17 ปี</t>
  </si>
  <si>
    <t>รวม</t>
  </si>
  <si>
    <t>2. สรุปคะแนนความพึงพอใจรายข้อ (ค่าเฉลี่ย, S.D. และ % ความพึงพอใจ)</t>
  </si>
  <si>
    <t>ประเด็นการประเมิน</t>
  </si>
  <si>
    <t>ค่าเฉลี่ย (เต็ม 5)</t>
  </si>
  <si>
    <t>ส่วนเบี่ยงเบน (S.D.)</t>
  </si>
  <si>
    <t>คิดเป็นร้อยละ (%)</t>
  </si>
  <si>
    <t>ระดับความพึงพอใจ</t>
  </si>
  <si>
    <t>ตัวเกมสามารถเข้าใจวิธีการเล่นได้ง่าย</t>
  </si>
  <si>
    <t>เมนู ปุ่ม และส่วนต่างๆในเกมใช้งานง่าย</t>
  </si>
  <si>
    <t>ภาพและกราฟิกภายในเกมมีความสวยงาม</t>
  </si>
  <si>
    <t>การเล่นเกมมีความต่อเนื่องและไม่น่าเบื่อ</t>
  </si>
  <si>
    <t>ภาพรวมเฉลี่ยทุกด้าน</t>
  </si>
  <si>
    <t>3. สัดส่วนร้อยละของผู้ตอบแบบสอบถามจำแนกตามระดับคะแนน (5 ถึง 1 ดาว)</t>
  </si>
  <si>
    <t>5 (มากที่สุด)</t>
  </si>
  <si>
    <t>4 (มาก)</t>
  </si>
  <si>
    <t>3 (ปานกลาง)</t>
  </si>
  <si>
    <t>2 (น้อย)</t>
  </si>
  <si>
    <t>1 (น้อยที่สุด)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</si>
</sst>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87" formatCode="m/d/yyyy\ h:mm:ss"/>
    <numFmt numFmtId="188" formatCode="0.0%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1F4E78"/>
      <name val="Cordia New"/>
    </font>
    <font>
      <b/>
      <sz val="12"/>
      <color rgb="FF000000"/>
      <name val="Cordia New"/>
    </font>
    <font>
      <b/>
      <sz val="13"/>
      <color rgb="FFFFFFFF"/>
      <name val="Cordia New"/>
    </font>
    <font>
      <sz val="12"/>
      <name val="Cordia New"/>
    </font>
    <font>
      <b/>
      <sz val="12"/>
      <name val="Cordia New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187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188" fontId="5" fillId="0" borderId="1" xfId="0" applyNumberFormat="1" applyFont="1" applyBorder="1"/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right"/>
    </xf>
    <xf numFmtId="188" fontId="6" fillId="3" borderId="1" xfId="0" applyNumberFormat="1" applyFont="1" applyFill="1" applyBorder="1"/>
    <xf numFmtId="0" fontId="5" fillId="0" borderId="1" xfId="0" applyFont="1" applyBorder="1" applyAlignment="1">
      <alignment horizontal="left"/>
    </xf>
    <xf numFmtId="2" fontId="5" fillId="0" borderId="1" xfId="0" applyNumberFormat="1" applyFont="1" applyBorder="1" applyAlignment="1">
      <alignment horizontal="right"/>
    </xf>
    <xf numFmtId="188" fontId="5" fillId="0" borderId="1" xfId="0" applyNumberFormat="1" applyFont="1" applyBorder="1" applyAlignment="1">
      <alignment horizontal="right"/>
    </xf>
    <xf numFmtId="2" fontId="6" fillId="3" borderId="1" xfId="0" applyNumberFormat="1" applyFont="1" applyFill="1" applyBorder="1" applyAlignment="1">
      <alignment horizontal="right"/>
    </xf>
    <xf numFmtId="188" fontId="6" fillId="3" borderId="1" xfId="0" applyNumberFormat="1" applyFont="1" applyFill="1" applyBorder="1" applyAlignment="1">
      <alignment horizontal="right"/>
    </xf>
    <xf numFmtId="188" fontId="5" fillId="0" borderId="1" xfId="0" applyNumberFormat="1" applyFont="1" applyBorder="1" applyAlignment="1">
      <alignment horizontal="center"/>
    </xf>
  </cellXfs>
  <cellStyles count="1">
    <cellStyle name="ปกติ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การตอบแบบฟอร์ม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h-TH"/>
              <a:t>ช่วงอายุ</a:t>
            </a:r>
            <a:r>
              <a:rPr lang="th-TH" sz="1800" b="1" i="0" u="none" strike="noStrike" kern="1200" baseline="0">
                <a:solidFill>
                  <a:srgbClr val="000000"/>
                </a:solidFill>
              </a:rPr>
              <a:t>ผู้ตอบแบบสอบถาม</a:t>
            </a:r>
            <a:r>
              <a:rPr lang="th-TH"/>
              <a:t> (%)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สรุปผลและกราฟ!$B$4</c:f>
              <c:strCache>
                <c:ptCount val="1"/>
                <c:pt idx="0">
                  <c:v>จำนวน (คน)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สรุปผลและกราฟ!$A$5:$A$12</c:f>
              <c:strCache>
                <c:ptCount val="8"/>
                <c:pt idx="0">
                  <c:v>9 ปี</c:v>
                </c:pt>
                <c:pt idx="1">
                  <c:v>10 ปี</c:v>
                </c:pt>
                <c:pt idx="2">
                  <c:v>11 ปี</c:v>
                </c:pt>
                <c:pt idx="3">
                  <c:v>12 ปี</c:v>
                </c:pt>
                <c:pt idx="4">
                  <c:v>13 ปี</c:v>
                </c:pt>
                <c:pt idx="5">
                  <c:v>15 ปี</c:v>
                </c:pt>
                <c:pt idx="6">
                  <c:v>16 ปี</c:v>
                </c:pt>
                <c:pt idx="7">
                  <c:v>17 ปี</c:v>
                </c:pt>
              </c:strCache>
            </c:strRef>
          </c:cat>
          <c:val>
            <c:numRef>
              <c:f>สรุปผลและกราฟ!$B$5:$B$12</c:f>
              <c:numCache>
                <c:formatCode>General</c:formatCode>
                <c:ptCount val="8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CC-4F11-A028-351A7178C94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th-TH" sz="1800" b="1" i="0" u="none" strike="noStrike" kern="1200" baseline="0">
                <a:solidFill>
                  <a:srgbClr val="000000"/>
                </a:solidFill>
              </a:rPr>
              <a:t>ร้อยละความพึงพอใจตามหัวข้อ(%)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สรุปผลและกราฟ!$D$40</c:f>
              <c:strCache>
                <c:ptCount val="1"/>
                <c:pt idx="0">
                  <c:v>คิดเป็นร้อยละ (%)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สรุปผลและกราฟ!$A$41:$A$47</c:f>
              <c:strCache>
                <c:ptCount val="7"/>
                <c:pt idx="0">
                  <c:v>ตัวเกมสามารถเข้าใจวิธีการเล่นได้ง่าย</c:v>
                </c:pt>
                <c:pt idx="1">
                  <c:v>เมนู ปุ่ม และส่วนต่างๆในเกมใช้งานง่าย</c:v>
                </c:pt>
                <c:pt idx="2">
                  <c:v>ภาพและกราฟิกภายในเกมมีความสวยงาม</c:v>
                </c:pt>
                <c:pt idx="3">
                  <c:v>ความเข้าใจง่ายของระบบควบคุม</c:v>
                </c:pt>
                <c:pt idx="4">
                  <c:v>ในแต่ละLevelของเกมมีความสมเหตุสมผล</c:v>
                </c:pt>
                <c:pt idx="5">
                  <c:v>การเล่นเกมมีความต่อเนื่องและไม่น่าเบื่อ</c:v>
                </c:pt>
                <c:pt idx="6">
                  <c:v>โดยรวมแล้วเกมมีความน่าสนใจและสนุกในการเล่นมากแค่ไหน</c:v>
                </c:pt>
              </c:strCache>
            </c:strRef>
          </c:cat>
          <c:val>
            <c:numRef>
              <c:f>สรุปผลและกราฟ!$D$41:$D$47</c:f>
              <c:numCache>
                <c:formatCode>0.0%</c:formatCode>
                <c:ptCount val="7"/>
                <c:pt idx="0">
                  <c:v>0.94000000000000006</c:v>
                </c:pt>
                <c:pt idx="1">
                  <c:v>0.91999999999999993</c:v>
                </c:pt>
                <c:pt idx="2">
                  <c:v>0.93</c:v>
                </c:pt>
                <c:pt idx="3">
                  <c:v>0.94000000000000006</c:v>
                </c:pt>
                <c:pt idx="4">
                  <c:v>0.94000000000000006</c:v>
                </c:pt>
                <c:pt idx="5">
                  <c:v>0.96</c:v>
                </c:pt>
                <c:pt idx="6">
                  <c:v>0.94000000000000006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16-4CB7-B8E9-2E519C0C81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ร้อยละ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th-TH"/>
                  <a:t>หัวข้อการประเมิน</a:t>
                </a:r>
              </a:p>
            </c:rich>
          </c:tx>
          <c:overlay val="0"/>
        </c:title>
        <c:numFmt formatCode="0.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th-TH"/>
              <a:t>ระดับคะแนนความพึงพอใจ</a:t>
            </a:r>
            <a:r>
              <a:rPr lang="th-TH" sz="1800" b="1" i="0" u="none" strike="noStrike" kern="1200" baseline="0">
                <a:solidFill>
                  <a:srgbClr val="000000"/>
                </a:solidFill>
              </a:rPr>
              <a:t>ในแต่ละข้อ</a:t>
            </a:r>
            <a:r>
              <a:rPr lang="th-TH"/>
              <a:t>(%</a:t>
            </a:r>
            <a:r>
              <a:rPr lang="en-US"/>
              <a:t>)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สรุปผลและกราฟ!$B$78</c:f>
              <c:strCache>
                <c:ptCount val="1"/>
                <c:pt idx="0">
                  <c:v>5 (มากที่สุด)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สรุปผลและกราฟ!$A$79:$A$85</c:f>
              <c:strCache>
                <c:ptCount val="7"/>
                <c:pt idx="0">
                  <c:v>ตัวเกมสามารถเข้าใจวิธีการเล่นได้ง่าย</c:v>
                </c:pt>
                <c:pt idx="1">
                  <c:v>เมนู ปุ่ม และส่วนต่างๆในเกมใช้งานง่าย</c:v>
                </c:pt>
                <c:pt idx="2">
                  <c:v>ภาพและกราฟิกภายในเกมมีความสวยงาม</c:v>
                </c:pt>
                <c:pt idx="3">
                  <c:v>ความเข้าใจง่ายของระบบควบคุม</c:v>
                </c:pt>
                <c:pt idx="4">
                  <c:v>ในแต่ละLevelของเกมมีความสมเหตุสมผล</c:v>
                </c:pt>
                <c:pt idx="5">
                  <c:v>การเล่นเกมมีความต่อเนื่องและไม่น่าเบื่อ</c:v>
                </c:pt>
                <c:pt idx="6">
                  <c:v>โดยรวมแล้วเกมมีความน่าสนใจและสนุกในการเล่นมากแค่ไหน</c:v>
                </c:pt>
              </c:strCache>
            </c:strRef>
          </c:cat>
          <c:val>
            <c:numRef>
              <c:f>สรุปผลและกราฟ!$B$79:$B$85</c:f>
              <c:numCache>
                <c:formatCode>0.0%</c:formatCode>
                <c:ptCount val="7"/>
                <c:pt idx="0">
                  <c:v>0.8</c:v>
                </c:pt>
                <c:pt idx="1">
                  <c:v>0.7</c:v>
                </c:pt>
                <c:pt idx="2">
                  <c:v>0.7</c:v>
                </c:pt>
                <c:pt idx="3">
                  <c:v>0.75</c:v>
                </c:pt>
                <c:pt idx="4">
                  <c:v>0.8</c:v>
                </c:pt>
                <c:pt idx="5">
                  <c:v>0.85</c:v>
                </c:pt>
                <c:pt idx="6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CE-4D53-97C7-BACED6FAC7CF}"/>
            </c:ext>
          </c:extLst>
        </c:ser>
        <c:ser>
          <c:idx val="1"/>
          <c:order val="1"/>
          <c:tx>
            <c:strRef>
              <c:f>สรุปผลและกราฟ!$C$78</c:f>
              <c:strCache>
                <c:ptCount val="1"/>
                <c:pt idx="0">
                  <c:v>4 (มาก)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สรุปผลและกราฟ!$A$79:$A$85</c:f>
              <c:strCache>
                <c:ptCount val="7"/>
                <c:pt idx="0">
                  <c:v>ตัวเกมสามารถเข้าใจวิธีการเล่นได้ง่าย</c:v>
                </c:pt>
                <c:pt idx="1">
                  <c:v>เมนู ปุ่ม และส่วนต่างๆในเกมใช้งานง่าย</c:v>
                </c:pt>
                <c:pt idx="2">
                  <c:v>ภาพและกราฟิกภายในเกมมีความสวยงาม</c:v>
                </c:pt>
                <c:pt idx="3">
                  <c:v>ความเข้าใจง่ายของระบบควบคุม</c:v>
                </c:pt>
                <c:pt idx="4">
                  <c:v>ในแต่ละLevelของเกมมีความสมเหตุสมผล</c:v>
                </c:pt>
                <c:pt idx="5">
                  <c:v>การเล่นเกมมีความต่อเนื่องและไม่น่าเบื่อ</c:v>
                </c:pt>
                <c:pt idx="6">
                  <c:v>โดยรวมแล้วเกมมีความน่าสนใจและสนุกในการเล่นมากแค่ไหน</c:v>
                </c:pt>
              </c:strCache>
            </c:strRef>
          </c:cat>
          <c:val>
            <c:numRef>
              <c:f>สรุปผลและกราฟ!$C$79:$C$85</c:f>
              <c:numCache>
                <c:formatCode>0.0%</c:formatCode>
                <c:ptCount val="7"/>
                <c:pt idx="0">
                  <c:v>0.1</c:v>
                </c:pt>
                <c:pt idx="1">
                  <c:v>0.2</c:v>
                </c:pt>
                <c:pt idx="2">
                  <c:v>0.25</c:v>
                </c:pt>
                <c:pt idx="3">
                  <c:v>0.2</c:v>
                </c:pt>
                <c:pt idx="4">
                  <c:v>0.1</c:v>
                </c:pt>
                <c:pt idx="5">
                  <c:v>0.1</c:v>
                </c:pt>
                <c:pt idx="6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3CE-4D53-97C7-BACED6FAC7CF}"/>
            </c:ext>
          </c:extLst>
        </c:ser>
        <c:ser>
          <c:idx val="2"/>
          <c:order val="2"/>
          <c:tx>
            <c:strRef>
              <c:f>สรุปผลและกราฟ!$D$78</c:f>
              <c:strCache>
                <c:ptCount val="1"/>
                <c:pt idx="0">
                  <c:v>3 (ปานกลาง)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3CE-4D53-97C7-BACED6FAC7CF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สรุปผลและกราฟ!$A$79:$A$85</c:f>
              <c:strCache>
                <c:ptCount val="7"/>
                <c:pt idx="0">
                  <c:v>ตัวเกมสามารถเข้าใจวิธีการเล่นได้ง่าย</c:v>
                </c:pt>
                <c:pt idx="1">
                  <c:v>เมนู ปุ่ม และส่วนต่างๆในเกมใช้งานง่าย</c:v>
                </c:pt>
                <c:pt idx="2">
                  <c:v>ภาพและกราฟิกภายในเกมมีความสวยงาม</c:v>
                </c:pt>
                <c:pt idx="3">
                  <c:v>ความเข้าใจง่ายของระบบควบคุม</c:v>
                </c:pt>
                <c:pt idx="4">
                  <c:v>ในแต่ละLevelของเกมมีความสมเหตุสมผล</c:v>
                </c:pt>
                <c:pt idx="5">
                  <c:v>การเล่นเกมมีความต่อเนื่องและไม่น่าเบื่อ</c:v>
                </c:pt>
                <c:pt idx="6">
                  <c:v>โดยรวมแล้วเกมมีความน่าสนใจและสนุกในการเล่นมากแค่ไหน</c:v>
                </c:pt>
              </c:strCache>
            </c:strRef>
          </c:cat>
          <c:val>
            <c:numRef>
              <c:f>สรุปผลและกราฟ!$D$79:$D$85</c:f>
              <c:numCache>
                <c:formatCode>0.0%</c:formatCode>
                <c:ptCount val="7"/>
                <c:pt idx="0">
                  <c:v>0.1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0.1</c:v>
                </c:pt>
                <c:pt idx="5">
                  <c:v>0.05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3CE-4D53-97C7-BACED6FAC7CF}"/>
            </c:ext>
          </c:extLst>
        </c:ser>
        <c:ser>
          <c:idx val="3"/>
          <c:order val="3"/>
          <c:tx>
            <c:strRef>
              <c:f>สรุปผลและกราฟ!$E$78</c:f>
              <c:strCache>
                <c:ptCount val="1"/>
                <c:pt idx="0">
                  <c:v>2 (น้อย)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สรุปผลและกราฟ!$A$79:$A$85</c:f>
              <c:strCache>
                <c:ptCount val="7"/>
                <c:pt idx="0">
                  <c:v>ตัวเกมสามารถเข้าใจวิธีการเล่นได้ง่าย</c:v>
                </c:pt>
                <c:pt idx="1">
                  <c:v>เมนู ปุ่ม และส่วนต่างๆในเกมใช้งานง่าย</c:v>
                </c:pt>
                <c:pt idx="2">
                  <c:v>ภาพและกราฟิกภายในเกมมีความสวยงาม</c:v>
                </c:pt>
                <c:pt idx="3">
                  <c:v>ความเข้าใจง่ายของระบบควบคุม</c:v>
                </c:pt>
                <c:pt idx="4">
                  <c:v>ในแต่ละLevelของเกมมีความสมเหตุสมผล</c:v>
                </c:pt>
                <c:pt idx="5">
                  <c:v>การเล่นเกมมีความต่อเนื่องและไม่น่าเบื่อ</c:v>
                </c:pt>
                <c:pt idx="6">
                  <c:v>โดยรวมแล้วเกมมีความน่าสนใจและสนุกในการเล่นมากแค่ไหน</c:v>
                </c:pt>
              </c:strCache>
            </c:strRef>
          </c:cat>
          <c:val>
            <c:numRef>
              <c:f>สรุปผลและกราฟ!$E$79:$E$85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3CE-4D53-97C7-BACED6FAC7CF}"/>
            </c:ext>
          </c:extLst>
        </c:ser>
        <c:ser>
          <c:idx val="4"/>
          <c:order val="4"/>
          <c:tx>
            <c:strRef>
              <c:f>สรุปผลและกราฟ!$F$78</c:f>
              <c:strCache>
                <c:ptCount val="1"/>
                <c:pt idx="0">
                  <c:v>1 (น้อยที่สุด)</c:v>
                </c:pt>
              </c:strCache>
            </c:strRef>
          </c:tx>
          <c:spPr>
            <a:ln>
              <a:prstDash val="solid"/>
            </a:ln>
          </c:spPr>
          <c:invertIfNegative val="0"/>
          <c:dLbls>
            <c:delete val="1"/>
          </c:dLbls>
          <c:cat>
            <c:strRef>
              <c:f>สรุปผลและกราฟ!$A$79:$A$85</c:f>
              <c:strCache>
                <c:ptCount val="7"/>
                <c:pt idx="0">
                  <c:v>ตัวเกมสามารถเข้าใจวิธีการเล่นได้ง่าย</c:v>
                </c:pt>
                <c:pt idx="1">
                  <c:v>เมนู ปุ่ม และส่วนต่างๆในเกมใช้งานง่าย</c:v>
                </c:pt>
                <c:pt idx="2">
                  <c:v>ภาพและกราฟิกภายในเกมมีความสวยงาม</c:v>
                </c:pt>
                <c:pt idx="3">
                  <c:v>ความเข้าใจง่ายของระบบควบคุม</c:v>
                </c:pt>
                <c:pt idx="4">
                  <c:v>ในแต่ละLevelของเกมมีความสมเหตุสมผล</c:v>
                </c:pt>
                <c:pt idx="5">
                  <c:v>การเล่นเกมมีความต่อเนื่องและไม่น่าเบื่อ</c:v>
                </c:pt>
                <c:pt idx="6">
                  <c:v>โดยรวมแล้วเกมมีความน่าสนใจและสนุกในการเล่นมากแค่ไหน</c:v>
                </c:pt>
              </c:strCache>
            </c:strRef>
          </c:cat>
          <c:val>
            <c:numRef>
              <c:f>สรุปผลและกราฟ!$F$79:$F$85</c:f>
              <c:numCache>
                <c:formatCode>0.0%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3CE-4D53-97C7-BACED6FAC7C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70292</xdr:colOff>
      <xdr:row>13</xdr:row>
      <xdr:rowOff>71310</xdr:rowOff>
    </xdr:from>
    <xdr:ext cx="5575435" cy="347891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34637</xdr:colOff>
      <xdr:row>49</xdr:row>
      <xdr:rowOff>20677</xdr:rowOff>
    </xdr:from>
    <xdr:ext cx="8541329" cy="3817897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21750</xdr:colOff>
      <xdr:row>85</xdr:row>
      <xdr:rowOff>149290</xdr:rowOff>
    </xdr:from>
    <xdr:ext cx="12087224" cy="43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L21">
  <tableColumns count="12">
    <tableColumn id="1" xr3:uid="{00000000-0010-0000-0000-000001000000}" name="ประทับเวลา"/>
    <tableColumn id="2" xr3:uid="{00000000-0010-0000-0000-000002000000}" name="ชื่อ-นามสกุล"/>
    <tableColumn id="3" xr3:uid="{00000000-0010-0000-0000-000003000000}" name="อายุ"/>
    <tableColumn id="4" xr3:uid="{00000000-0010-0000-0000-000004000000}" name="โรงเรียน"/>
    <tableColumn id="5" xr3:uid="{00000000-0010-0000-0000-000005000000}" name="ตัวเกมสามารถเข้าใจวิธีการเล่นได้ง่าย "/>
    <tableColumn id="6" xr3:uid="{00000000-0010-0000-0000-000006000000}" name="เมนู ปุ่ม และส่วนต่างๆในเกมใช้งานง่าย  "/>
    <tableColumn id="7" xr3:uid="{00000000-0010-0000-0000-000007000000}" name="ภาพและกราฟิกภายในเกมมีความสวยงาม  "/>
    <tableColumn id="8" xr3:uid="{00000000-0010-0000-0000-000008000000}" name="ความเข้าใจง่ายของระบบควบคุม"/>
    <tableColumn id="9" xr3:uid="{00000000-0010-0000-0000-000009000000}" name="ในแต่ละLevelของเกมมีความสมเหตุสมผล"/>
    <tableColumn id="10" xr3:uid="{00000000-0010-0000-0000-00000A000000}" name="การเล่นเกมมีความต่อเนื่องและไม่น่าเบื่อ  "/>
    <tableColumn id="11" xr3:uid="{00000000-0010-0000-0000-00000B000000}" name="โดยรวมแล้วเกมมีความน่าสนใจและสนุกในการเล่นมากแค่ไหน"/>
    <tableColumn id="12" xr3:uid="{00000000-0010-0000-0000-00000C000000}" name="ข้อเสนอแนะเพิ่มเติม"/>
  </tableColumns>
  <tableStyleInfo name="การตอบแบบฟอร์ม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21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 x14ac:dyDescent="0.2"/>
  <cols>
    <col min="1" max="4" width="18.85546875" customWidth="1"/>
    <col min="5" max="5" width="31.7109375" customWidth="1"/>
    <col min="6" max="6" width="32.28515625" customWidth="1"/>
    <col min="7" max="7" width="29.28515625" customWidth="1"/>
    <col min="8" max="8" width="24.85546875" customWidth="1"/>
    <col min="9" max="9" width="30.140625" customWidth="1"/>
    <col min="10" max="10" width="34.42578125" customWidth="1"/>
    <col min="11" max="11" width="37.5703125" customWidth="1"/>
    <col min="12" max="12" width="19.140625" customWidth="1"/>
    <col min="13" max="18" width="18.85546875" customWidth="1"/>
  </cols>
  <sheetData>
    <row r="1" spans="1:12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2.5" customHeight="1" x14ac:dyDescent="0.2">
      <c r="A2" s="2">
        <v>46254.378116956017</v>
      </c>
      <c r="B2" s="3" t="s">
        <v>12</v>
      </c>
      <c r="C2" s="3">
        <v>10</v>
      </c>
      <c r="D2" s="3" t="s">
        <v>13</v>
      </c>
      <c r="E2" s="3">
        <v>5</v>
      </c>
      <c r="F2" s="3">
        <v>5</v>
      </c>
      <c r="G2" s="3">
        <v>5</v>
      </c>
      <c r="H2" s="3">
        <v>5</v>
      </c>
      <c r="I2" s="3">
        <v>5</v>
      </c>
      <c r="J2" s="3">
        <v>5</v>
      </c>
      <c r="K2" s="3">
        <v>5</v>
      </c>
      <c r="L2" s="3" t="s">
        <v>14</v>
      </c>
    </row>
    <row r="3" spans="1:12" ht="22.5" customHeight="1" x14ac:dyDescent="0.2">
      <c r="A3" s="2">
        <v>46254.379159363423</v>
      </c>
      <c r="B3" s="3" t="s">
        <v>15</v>
      </c>
      <c r="C3" s="3">
        <v>9</v>
      </c>
      <c r="D3" s="3" t="s">
        <v>16</v>
      </c>
      <c r="E3" s="3">
        <v>5</v>
      </c>
      <c r="F3" s="3">
        <v>5</v>
      </c>
      <c r="G3" s="3">
        <v>5</v>
      </c>
      <c r="H3" s="3">
        <v>5</v>
      </c>
      <c r="I3" s="3">
        <v>5</v>
      </c>
      <c r="J3" s="3">
        <v>5</v>
      </c>
      <c r="K3" s="3">
        <v>5</v>
      </c>
    </row>
    <row r="4" spans="1:12" ht="22.5" customHeight="1" x14ac:dyDescent="0.2">
      <c r="A4" s="2">
        <v>46254.389645127318</v>
      </c>
      <c r="B4" s="3" t="s">
        <v>17</v>
      </c>
      <c r="C4" s="3">
        <v>15</v>
      </c>
      <c r="D4" s="3" t="s">
        <v>18</v>
      </c>
      <c r="E4" s="3">
        <v>4</v>
      </c>
      <c r="F4" s="3">
        <v>4</v>
      </c>
      <c r="G4" s="3">
        <v>3</v>
      </c>
      <c r="H4" s="3">
        <v>4</v>
      </c>
      <c r="I4" s="3">
        <v>4</v>
      </c>
      <c r="J4" s="3">
        <v>4</v>
      </c>
      <c r="K4" s="3">
        <v>4</v>
      </c>
    </row>
    <row r="5" spans="1:12" ht="22.5" customHeight="1" x14ac:dyDescent="0.2">
      <c r="A5" s="2">
        <v>46254.389805081017</v>
      </c>
      <c r="B5" s="3" t="s">
        <v>19</v>
      </c>
      <c r="C5" s="3">
        <v>17</v>
      </c>
      <c r="D5" s="3" t="s">
        <v>20</v>
      </c>
      <c r="E5" s="3">
        <v>5</v>
      </c>
      <c r="F5" s="3">
        <v>5</v>
      </c>
      <c r="G5" s="3">
        <v>5</v>
      </c>
      <c r="H5" s="3">
        <v>5</v>
      </c>
      <c r="I5" s="3">
        <v>5</v>
      </c>
      <c r="J5" s="3">
        <v>5</v>
      </c>
      <c r="K5" s="3">
        <v>5</v>
      </c>
    </row>
    <row r="6" spans="1:12" ht="22.5" customHeight="1" x14ac:dyDescent="0.2">
      <c r="A6" s="2">
        <v>46254.390443912038</v>
      </c>
      <c r="B6" s="3" t="s">
        <v>21</v>
      </c>
      <c r="C6" s="3">
        <v>9</v>
      </c>
      <c r="D6" s="3" t="s">
        <v>16</v>
      </c>
      <c r="E6" s="3">
        <v>3</v>
      </c>
      <c r="F6" s="3">
        <v>5</v>
      </c>
      <c r="G6" s="3">
        <v>5</v>
      </c>
      <c r="H6" s="3">
        <v>5</v>
      </c>
      <c r="I6" s="3">
        <v>5</v>
      </c>
      <c r="J6" s="3">
        <v>5</v>
      </c>
      <c r="K6" s="3">
        <v>4</v>
      </c>
    </row>
    <row r="7" spans="1:12" ht="22.5" customHeight="1" x14ac:dyDescent="0.2">
      <c r="A7" s="2">
        <v>46254.391208333327</v>
      </c>
      <c r="B7" s="3" t="s">
        <v>22</v>
      </c>
      <c r="C7" s="3">
        <v>15</v>
      </c>
      <c r="D7" s="3" t="s">
        <v>20</v>
      </c>
      <c r="E7" s="3">
        <v>5</v>
      </c>
      <c r="F7" s="3">
        <v>5</v>
      </c>
      <c r="G7" s="3">
        <v>5</v>
      </c>
      <c r="H7" s="3">
        <v>5</v>
      </c>
      <c r="I7" s="3">
        <v>5</v>
      </c>
      <c r="J7" s="3">
        <v>5</v>
      </c>
      <c r="K7" s="3">
        <v>5</v>
      </c>
    </row>
    <row r="8" spans="1:12" ht="22.5" customHeight="1" x14ac:dyDescent="0.2">
      <c r="A8" s="2">
        <v>46254.405156238427</v>
      </c>
      <c r="B8" s="3" t="s">
        <v>23</v>
      </c>
      <c r="C8" s="3">
        <v>10</v>
      </c>
      <c r="D8" s="3" t="s">
        <v>24</v>
      </c>
      <c r="E8" s="3">
        <v>5</v>
      </c>
      <c r="F8" s="3">
        <v>5</v>
      </c>
      <c r="G8" s="3">
        <v>5</v>
      </c>
      <c r="H8" s="3">
        <v>5</v>
      </c>
      <c r="I8" s="3">
        <v>5</v>
      </c>
      <c r="J8" s="3">
        <v>5</v>
      </c>
      <c r="K8" s="3">
        <v>5</v>
      </c>
    </row>
    <row r="9" spans="1:12" ht="22.5" customHeight="1" x14ac:dyDescent="0.2">
      <c r="A9" s="2">
        <v>46254.410580023148</v>
      </c>
      <c r="B9" s="3" t="s">
        <v>25</v>
      </c>
      <c r="C9" s="3">
        <v>10</v>
      </c>
      <c r="D9" s="3" t="s">
        <v>16</v>
      </c>
      <c r="E9" s="3">
        <v>5</v>
      </c>
      <c r="F9" s="3">
        <v>5</v>
      </c>
      <c r="G9" s="3">
        <v>5</v>
      </c>
      <c r="H9" s="3">
        <v>4</v>
      </c>
      <c r="I9" s="3">
        <v>4</v>
      </c>
      <c r="J9" s="3">
        <v>5</v>
      </c>
      <c r="K9" s="3">
        <v>5</v>
      </c>
    </row>
    <row r="10" spans="1:12" ht="22.5" customHeight="1" x14ac:dyDescent="0.2">
      <c r="A10" s="2">
        <v>46254.411859699067</v>
      </c>
      <c r="B10" s="3" t="s">
        <v>26</v>
      </c>
      <c r="C10" s="3">
        <v>10</v>
      </c>
      <c r="D10" s="3" t="s">
        <v>27</v>
      </c>
      <c r="E10" s="3">
        <v>5</v>
      </c>
      <c r="F10" s="3">
        <v>5</v>
      </c>
      <c r="G10" s="3">
        <v>5</v>
      </c>
      <c r="H10" s="3">
        <v>5</v>
      </c>
      <c r="I10" s="3">
        <v>5</v>
      </c>
      <c r="J10" s="3">
        <v>5</v>
      </c>
      <c r="K10" s="3">
        <v>5</v>
      </c>
      <c r="L10" s="3" t="s">
        <v>28</v>
      </c>
    </row>
    <row r="11" spans="1:12" ht="22.5" customHeight="1" x14ac:dyDescent="0.2">
      <c r="A11" s="2">
        <v>46254.415424780091</v>
      </c>
      <c r="B11" s="3" t="s">
        <v>29</v>
      </c>
      <c r="C11" s="3">
        <v>11</v>
      </c>
      <c r="D11" s="3" t="s">
        <v>30</v>
      </c>
      <c r="E11" s="3">
        <v>5</v>
      </c>
      <c r="F11" s="3">
        <v>5</v>
      </c>
      <c r="G11" s="3">
        <v>5</v>
      </c>
      <c r="H11" s="3">
        <v>5</v>
      </c>
      <c r="I11" s="3">
        <v>5</v>
      </c>
      <c r="J11" s="3">
        <v>5</v>
      </c>
      <c r="K11" s="3">
        <v>5</v>
      </c>
    </row>
    <row r="12" spans="1:12" ht="22.5" customHeight="1" x14ac:dyDescent="0.2">
      <c r="A12" s="2">
        <v>46254.418062152778</v>
      </c>
      <c r="B12" s="3" t="s">
        <v>31</v>
      </c>
      <c r="C12" s="3">
        <v>10</v>
      </c>
      <c r="D12" s="3" t="s">
        <v>32</v>
      </c>
      <c r="E12" s="3">
        <v>5</v>
      </c>
      <c r="F12" s="3">
        <v>4</v>
      </c>
      <c r="G12" s="3">
        <v>5</v>
      </c>
      <c r="H12" s="3">
        <v>5</v>
      </c>
      <c r="I12" s="3">
        <v>5</v>
      </c>
      <c r="J12" s="3">
        <v>5</v>
      </c>
      <c r="K12" s="3">
        <v>4</v>
      </c>
    </row>
    <row r="13" spans="1:12" ht="22.5" customHeight="1" x14ac:dyDescent="0.2">
      <c r="A13" s="2">
        <v>46254.418081122683</v>
      </c>
      <c r="B13" s="3" t="s">
        <v>33</v>
      </c>
      <c r="C13" s="3">
        <v>12</v>
      </c>
      <c r="D13" s="3" t="s">
        <v>32</v>
      </c>
      <c r="E13" s="3">
        <v>5</v>
      </c>
      <c r="F13" s="3">
        <v>3</v>
      </c>
      <c r="G13" s="3">
        <v>4</v>
      </c>
      <c r="H13" s="3">
        <v>3</v>
      </c>
      <c r="I13" s="3">
        <v>3</v>
      </c>
      <c r="J13" s="3">
        <v>3</v>
      </c>
      <c r="K13" s="3">
        <v>5</v>
      </c>
    </row>
    <row r="14" spans="1:12" ht="22.5" customHeight="1" x14ac:dyDescent="0.2">
      <c r="A14" s="2">
        <v>46254.428414652779</v>
      </c>
      <c r="B14" s="3" t="s">
        <v>34</v>
      </c>
      <c r="C14" s="3">
        <v>13</v>
      </c>
      <c r="D14" s="3" t="s">
        <v>35</v>
      </c>
      <c r="E14" s="3">
        <v>5</v>
      </c>
      <c r="F14" s="3">
        <v>5</v>
      </c>
      <c r="G14" s="3">
        <v>4</v>
      </c>
      <c r="H14" s="3">
        <v>5</v>
      </c>
      <c r="I14" s="3">
        <v>5</v>
      </c>
      <c r="J14" s="3">
        <v>5</v>
      </c>
      <c r="K14" s="3">
        <v>5</v>
      </c>
    </row>
    <row r="15" spans="1:12" ht="22.5" customHeight="1" x14ac:dyDescent="0.2">
      <c r="A15" s="2">
        <v>46254.444981319437</v>
      </c>
      <c r="B15" s="3" t="s">
        <v>36</v>
      </c>
      <c r="C15" s="3">
        <v>12</v>
      </c>
      <c r="D15" s="3" t="s">
        <v>37</v>
      </c>
      <c r="E15" s="3">
        <v>3</v>
      </c>
      <c r="F15" s="3">
        <v>3</v>
      </c>
      <c r="G15" s="3">
        <v>4</v>
      </c>
      <c r="H15" s="3">
        <v>5</v>
      </c>
      <c r="I15" s="3">
        <v>3</v>
      </c>
      <c r="J15" s="3">
        <v>4</v>
      </c>
      <c r="K15" s="3">
        <v>4</v>
      </c>
    </row>
    <row r="16" spans="1:12" ht="22.5" customHeight="1" x14ac:dyDescent="0.2">
      <c r="A16" s="2">
        <v>46254.445515995372</v>
      </c>
      <c r="B16" s="3" t="s">
        <v>38</v>
      </c>
      <c r="C16" s="3">
        <v>11</v>
      </c>
      <c r="D16" s="3" t="s">
        <v>39</v>
      </c>
      <c r="E16" s="3">
        <v>5</v>
      </c>
      <c r="F16" s="3">
        <v>5</v>
      </c>
      <c r="G16" s="3">
        <v>5</v>
      </c>
      <c r="H16" s="3">
        <v>5</v>
      </c>
      <c r="I16" s="3">
        <v>5</v>
      </c>
      <c r="J16" s="3">
        <v>5</v>
      </c>
      <c r="K16" s="3">
        <v>5</v>
      </c>
    </row>
    <row r="17" spans="1:11" ht="22.5" customHeight="1" x14ac:dyDescent="0.2">
      <c r="A17" s="2">
        <v>46254.462124560188</v>
      </c>
      <c r="B17" s="3" t="s">
        <v>40</v>
      </c>
      <c r="C17" s="3">
        <v>12</v>
      </c>
      <c r="D17" s="3" t="s">
        <v>41</v>
      </c>
      <c r="E17" s="3">
        <v>5</v>
      </c>
      <c r="F17" s="3">
        <v>5</v>
      </c>
      <c r="G17" s="3">
        <v>5</v>
      </c>
      <c r="H17" s="3">
        <v>5</v>
      </c>
      <c r="I17" s="3">
        <v>5</v>
      </c>
      <c r="J17" s="3">
        <v>5</v>
      </c>
      <c r="K17" s="3">
        <v>5</v>
      </c>
    </row>
    <row r="18" spans="1:11" ht="22.5" customHeight="1" x14ac:dyDescent="0.2">
      <c r="A18" s="2">
        <v>46254.466392361108</v>
      </c>
      <c r="B18" s="3" t="s">
        <v>42</v>
      </c>
      <c r="C18" s="3">
        <v>12</v>
      </c>
      <c r="D18" s="3" t="s">
        <v>43</v>
      </c>
      <c r="E18" s="3">
        <v>5</v>
      </c>
      <c r="F18" s="3">
        <v>5</v>
      </c>
      <c r="G18" s="3">
        <v>5</v>
      </c>
      <c r="H18" s="3">
        <v>5</v>
      </c>
      <c r="I18" s="3">
        <v>5</v>
      </c>
      <c r="J18" s="3">
        <v>5</v>
      </c>
      <c r="K18" s="3">
        <v>5</v>
      </c>
    </row>
    <row r="19" spans="1:11" ht="22.5" customHeight="1" x14ac:dyDescent="0.2">
      <c r="A19" s="2">
        <v>46254.46641940972</v>
      </c>
      <c r="B19" s="3" t="s">
        <v>44</v>
      </c>
      <c r="C19" s="3">
        <v>12</v>
      </c>
      <c r="D19" s="3" t="s">
        <v>43</v>
      </c>
      <c r="E19" s="3">
        <v>5</v>
      </c>
      <c r="F19" s="3">
        <v>4</v>
      </c>
      <c r="G19" s="3">
        <v>5</v>
      </c>
      <c r="H19" s="3">
        <v>4</v>
      </c>
      <c r="I19" s="3">
        <v>5</v>
      </c>
      <c r="J19" s="3">
        <v>5</v>
      </c>
      <c r="K19" s="3">
        <v>5</v>
      </c>
    </row>
    <row r="20" spans="1:11" ht="22.5" customHeight="1" x14ac:dyDescent="0.2">
      <c r="A20" s="2">
        <v>46254.469704317133</v>
      </c>
      <c r="B20" s="3" t="s">
        <v>45</v>
      </c>
      <c r="C20" s="3">
        <v>16</v>
      </c>
      <c r="D20" s="3" t="s">
        <v>46</v>
      </c>
      <c r="E20" s="3">
        <v>4</v>
      </c>
      <c r="F20" s="3">
        <v>5</v>
      </c>
      <c r="G20" s="3">
        <v>4</v>
      </c>
      <c r="H20" s="3">
        <v>4</v>
      </c>
      <c r="I20" s="3">
        <v>5</v>
      </c>
      <c r="J20" s="3">
        <v>5</v>
      </c>
      <c r="K20" s="3">
        <v>4</v>
      </c>
    </row>
    <row r="21" spans="1:11" ht="22.5" customHeight="1" x14ac:dyDescent="0.2">
      <c r="A21" s="2">
        <v>46254.481545717586</v>
      </c>
      <c r="B21" s="3" t="s">
        <v>47</v>
      </c>
      <c r="C21" s="3">
        <v>10</v>
      </c>
      <c r="D21" s="3" t="s">
        <v>27</v>
      </c>
      <c r="E21" s="3">
        <v>5</v>
      </c>
      <c r="F21" s="3">
        <v>4</v>
      </c>
      <c r="G21" s="3">
        <v>4</v>
      </c>
      <c r="H21" s="3">
        <v>5</v>
      </c>
      <c r="I21" s="3">
        <v>5</v>
      </c>
      <c r="J21" s="3">
        <v>5</v>
      </c>
      <c r="K21" s="3">
        <v>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5"/>
  <sheetViews>
    <sheetView tabSelected="1" topLeftCell="A50" zoomScaleNormal="100" workbookViewId="0">
      <selection activeCell="I76" sqref="I76"/>
    </sheetView>
  </sheetViews>
  <sheetFormatPr defaultRowHeight="12.75" x14ac:dyDescent="0.2"/>
  <cols>
    <col min="1" max="1" width="46" customWidth="1"/>
    <col min="2" max="2" width="16" customWidth="1"/>
    <col min="3" max="5" width="18" customWidth="1"/>
    <col min="6" max="6" width="16" customWidth="1"/>
  </cols>
  <sheetData>
    <row r="1" spans="1:3" ht="23.25" x14ac:dyDescent="0.5">
      <c r="A1" s="4" t="s">
        <v>48</v>
      </c>
    </row>
    <row r="3" spans="1:3" ht="18" x14ac:dyDescent="0.4">
      <c r="A3" s="5" t="s">
        <v>49</v>
      </c>
    </row>
    <row r="4" spans="1:3" ht="18.75" x14ac:dyDescent="0.2">
      <c r="A4" s="6" t="s">
        <v>50</v>
      </c>
      <c r="B4" s="6" t="s">
        <v>51</v>
      </c>
      <c r="C4" s="6" t="s">
        <v>52</v>
      </c>
    </row>
    <row r="5" spans="1:3" ht="18.75" x14ac:dyDescent="0.45">
      <c r="A5" s="7" t="s">
        <v>53</v>
      </c>
      <c r="B5" s="8">
        <v>2</v>
      </c>
      <c r="C5" s="9">
        <v>0.1</v>
      </c>
    </row>
    <row r="6" spans="1:3" ht="18.75" x14ac:dyDescent="0.45">
      <c r="A6" s="7" t="s">
        <v>54</v>
      </c>
      <c r="B6" s="8">
        <v>6</v>
      </c>
      <c r="C6" s="9">
        <v>0.3</v>
      </c>
    </row>
    <row r="7" spans="1:3" ht="18.75" x14ac:dyDescent="0.45">
      <c r="A7" s="7" t="s">
        <v>55</v>
      </c>
      <c r="B7" s="8">
        <v>2</v>
      </c>
      <c r="C7" s="9">
        <v>0.1</v>
      </c>
    </row>
    <row r="8" spans="1:3" ht="18.75" x14ac:dyDescent="0.45">
      <c r="A8" s="7" t="s">
        <v>56</v>
      </c>
      <c r="B8" s="8">
        <v>5</v>
      </c>
      <c r="C8" s="9">
        <v>0.25</v>
      </c>
    </row>
    <row r="9" spans="1:3" ht="18.75" x14ac:dyDescent="0.45">
      <c r="A9" s="7" t="s">
        <v>57</v>
      </c>
      <c r="B9" s="8">
        <v>1</v>
      </c>
      <c r="C9" s="9">
        <v>0.05</v>
      </c>
    </row>
    <row r="10" spans="1:3" ht="18.75" x14ac:dyDescent="0.45">
      <c r="A10" s="7" t="s">
        <v>58</v>
      </c>
      <c r="B10" s="8">
        <v>2</v>
      </c>
      <c r="C10" s="9">
        <v>0.1</v>
      </c>
    </row>
    <row r="11" spans="1:3" ht="18.75" x14ac:dyDescent="0.45">
      <c r="A11" s="7" t="s">
        <v>59</v>
      </c>
      <c r="B11" s="8">
        <v>1</v>
      </c>
      <c r="C11" s="9">
        <v>0.05</v>
      </c>
    </row>
    <row r="12" spans="1:3" ht="18.75" x14ac:dyDescent="0.45">
      <c r="A12" s="7" t="s">
        <v>60</v>
      </c>
      <c r="B12" s="8">
        <v>1</v>
      </c>
      <c r="C12" s="9">
        <v>0.05</v>
      </c>
    </row>
    <row r="13" spans="1:3" ht="18" x14ac:dyDescent="0.4">
      <c r="A13" s="10" t="s">
        <v>61</v>
      </c>
      <c r="B13" s="11">
        <f>SUM(B5:B12)</f>
        <v>20</v>
      </c>
      <c r="C13" s="12">
        <f>SUM(C5:C12)</f>
        <v>1</v>
      </c>
    </row>
    <row r="39" spans="1:5" ht="18" x14ac:dyDescent="0.4">
      <c r="A39" s="5" t="s">
        <v>62</v>
      </c>
    </row>
    <row r="40" spans="1:5" ht="18.75" x14ac:dyDescent="0.2">
      <c r="A40" s="6" t="s">
        <v>63</v>
      </c>
      <c r="B40" s="6" t="s">
        <v>64</v>
      </c>
      <c r="C40" s="6" t="s">
        <v>65</v>
      </c>
      <c r="D40" s="6" t="s">
        <v>66</v>
      </c>
      <c r="E40" s="6" t="s">
        <v>67</v>
      </c>
    </row>
    <row r="41" spans="1:5" ht="18.75" x14ac:dyDescent="0.45">
      <c r="A41" s="13" t="s">
        <v>68</v>
      </c>
      <c r="B41" s="14">
        <v>4.7</v>
      </c>
      <c r="C41" s="14">
        <v>0.66</v>
      </c>
      <c r="D41" s="15">
        <f t="shared" ref="D41:D48" si="0">B41/5</f>
        <v>0.94000000000000006</v>
      </c>
      <c r="E41" s="7" t="str">
        <f t="shared" ref="E41:E48" si="1">IF(B41&gt;=4.21, "มากที่สุด", IF(B41&gt;=3.41, "มาก", IF(B41&gt;=2.61, "ปานกลาง", IF(B41&gt;=1.81, "น้อย", "น้อยที่สุด"))))</f>
        <v>มากที่สุด</v>
      </c>
    </row>
    <row r="42" spans="1:5" ht="18.75" x14ac:dyDescent="0.45">
      <c r="A42" s="13" t="s">
        <v>69</v>
      </c>
      <c r="B42" s="14">
        <v>4.5999999999999996</v>
      </c>
      <c r="C42" s="14">
        <v>0.68</v>
      </c>
      <c r="D42" s="15">
        <f t="shared" si="0"/>
        <v>0.91999999999999993</v>
      </c>
      <c r="E42" s="7" t="str">
        <f t="shared" si="1"/>
        <v>มากที่สุด</v>
      </c>
    </row>
    <row r="43" spans="1:5" ht="18.75" x14ac:dyDescent="0.45">
      <c r="A43" s="13" t="s">
        <v>70</v>
      </c>
      <c r="B43" s="14">
        <v>4.6500000000000004</v>
      </c>
      <c r="C43" s="14">
        <v>0.59</v>
      </c>
      <c r="D43" s="15">
        <f t="shared" si="0"/>
        <v>0.93</v>
      </c>
      <c r="E43" s="7" t="str">
        <f t="shared" si="1"/>
        <v>มากที่สุด</v>
      </c>
    </row>
    <row r="44" spans="1:5" ht="18.75" x14ac:dyDescent="0.45">
      <c r="A44" s="13" t="s">
        <v>7</v>
      </c>
      <c r="B44" s="14">
        <v>4.7</v>
      </c>
      <c r="C44" s="14">
        <v>0.56999999999999995</v>
      </c>
      <c r="D44" s="15">
        <f t="shared" si="0"/>
        <v>0.94000000000000006</v>
      </c>
      <c r="E44" s="7" t="str">
        <f t="shared" si="1"/>
        <v>มากที่สุด</v>
      </c>
    </row>
    <row r="45" spans="1:5" ht="18.75" x14ac:dyDescent="0.45">
      <c r="A45" s="13" t="s">
        <v>8</v>
      </c>
      <c r="B45" s="14">
        <v>4.7</v>
      </c>
      <c r="C45" s="14">
        <v>0.66</v>
      </c>
      <c r="D45" s="15">
        <f t="shared" si="0"/>
        <v>0.94000000000000006</v>
      </c>
      <c r="E45" s="7" t="str">
        <f t="shared" si="1"/>
        <v>มากที่สุด</v>
      </c>
    </row>
    <row r="46" spans="1:5" ht="18.75" x14ac:dyDescent="0.45">
      <c r="A46" s="13" t="s">
        <v>71</v>
      </c>
      <c r="B46" s="14">
        <v>4.8</v>
      </c>
      <c r="C46" s="14">
        <v>0.52</v>
      </c>
      <c r="D46" s="15">
        <f t="shared" si="0"/>
        <v>0.96</v>
      </c>
      <c r="E46" s="7" t="str">
        <f t="shared" si="1"/>
        <v>มากที่สุด</v>
      </c>
    </row>
    <row r="47" spans="1:5" ht="18.75" x14ac:dyDescent="0.45">
      <c r="A47" s="13" t="s">
        <v>10</v>
      </c>
      <c r="B47" s="14">
        <v>4.7</v>
      </c>
      <c r="C47" s="14">
        <v>0.47</v>
      </c>
      <c r="D47" s="15">
        <f t="shared" si="0"/>
        <v>0.94000000000000006</v>
      </c>
      <c r="E47" s="7" t="str">
        <f t="shared" si="1"/>
        <v>มากที่สุด</v>
      </c>
    </row>
    <row r="48" spans="1:5" ht="18" x14ac:dyDescent="0.4">
      <c r="A48" s="10" t="s">
        <v>72</v>
      </c>
      <c r="B48" s="16">
        <f>AVERAGE(B41:B47)</f>
        <v>4.6928571428571431</v>
      </c>
      <c r="C48" s="16">
        <f>AVERAGE(C41:C47)</f>
        <v>0.59285714285714286</v>
      </c>
      <c r="D48" s="17">
        <f t="shared" si="0"/>
        <v>0.93857142857142861</v>
      </c>
      <c r="E48" s="10" t="str">
        <f t="shared" si="1"/>
        <v>มากที่สุด</v>
      </c>
    </row>
    <row r="77" spans="1:6" ht="18" x14ac:dyDescent="0.4">
      <c r="A77" s="5" t="s">
        <v>73</v>
      </c>
    </row>
    <row r="78" spans="1:6" ht="18.75" x14ac:dyDescent="0.2">
      <c r="A78" s="6" t="s">
        <v>63</v>
      </c>
      <c r="B78" s="6" t="s">
        <v>74</v>
      </c>
      <c r="C78" s="6" t="s">
        <v>75</v>
      </c>
      <c r="D78" s="6" t="s">
        <v>76</v>
      </c>
      <c r="E78" s="6" t="s">
        <v>77</v>
      </c>
      <c r="F78" s="6" t="s">
        <v>78</v>
      </c>
    </row>
    <row r="79" spans="1:6" ht="18.75" x14ac:dyDescent="0.45">
      <c r="A79" s="13" t="s">
        <v>68</v>
      </c>
      <c r="B79" s="18">
        <v>0.8</v>
      </c>
      <c r="C79" s="18">
        <v>0.1</v>
      </c>
      <c r="D79" s="18">
        <v>0.1</v>
      </c>
      <c r="E79" s="18">
        <v>0</v>
      </c>
      <c r="F79" s="18">
        <v>0</v>
      </c>
    </row>
    <row r="80" spans="1:6" ht="18.75" x14ac:dyDescent="0.45">
      <c r="A80" s="13" t="s">
        <v>69</v>
      </c>
      <c r="B80" s="18">
        <v>0.7</v>
      </c>
      <c r="C80" s="18">
        <v>0.2</v>
      </c>
      <c r="D80" s="18">
        <v>0.1</v>
      </c>
      <c r="E80" s="18">
        <v>0</v>
      </c>
      <c r="F80" s="18">
        <v>0</v>
      </c>
    </row>
    <row r="81" spans="1:6" ht="18.75" x14ac:dyDescent="0.45">
      <c r="A81" s="13" t="s">
        <v>70</v>
      </c>
      <c r="B81" s="18">
        <v>0.7</v>
      </c>
      <c r="C81" s="18">
        <v>0.25</v>
      </c>
      <c r="D81" s="18">
        <v>0.05</v>
      </c>
      <c r="E81" s="18">
        <v>0</v>
      </c>
      <c r="F81" s="18">
        <v>0</v>
      </c>
    </row>
    <row r="82" spans="1:6" ht="18.75" x14ac:dyDescent="0.45">
      <c r="A82" s="13" t="s">
        <v>7</v>
      </c>
      <c r="B82" s="18">
        <v>0.75</v>
      </c>
      <c r="C82" s="18">
        <v>0.2</v>
      </c>
      <c r="D82" s="18">
        <v>0.05</v>
      </c>
      <c r="E82" s="18">
        <v>0</v>
      </c>
      <c r="F82" s="18">
        <v>0</v>
      </c>
    </row>
    <row r="83" spans="1:6" ht="18.75" x14ac:dyDescent="0.45">
      <c r="A83" s="13" t="s">
        <v>8</v>
      </c>
      <c r="B83" s="18">
        <v>0.8</v>
      </c>
      <c r="C83" s="18">
        <v>0.1</v>
      </c>
      <c r="D83" s="18">
        <v>0.1</v>
      </c>
      <c r="E83" s="18">
        <v>0</v>
      </c>
      <c r="F83" s="18">
        <v>0</v>
      </c>
    </row>
    <row r="84" spans="1:6" ht="18.75" x14ac:dyDescent="0.45">
      <c r="A84" s="13" t="s">
        <v>71</v>
      </c>
      <c r="B84" s="18">
        <v>0.85</v>
      </c>
      <c r="C84" s="18">
        <v>0.1</v>
      </c>
      <c r="D84" s="18">
        <v>0.05</v>
      </c>
      <c r="E84" s="18">
        <v>0</v>
      </c>
      <c r="F84" s="18">
        <v>0</v>
      </c>
    </row>
    <row r="85" spans="1:6" ht="18.75" x14ac:dyDescent="0.45">
      <c r="A85" s="13" t="s">
        <v>10</v>
      </c>
      <c r="B85" s="18">
        <v>0.7</v>
      </c>
      <c r="C85" s="18">
        <v>0.3</v>
      </c>
      <c r="D85" s="18">
        <v>0</v>
      </c>
      <c r="E85" s="18">
        <v>0</v>
      </c>
      <c r="F85" s="18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การตอบแบบฟอร์ม 1</vt:lpstr>
      <vt:lpstr>สรุปผลและกราฟ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White Colossus</cp:lastModifiedBy>
  <dcterms:created xsi:type="dcterms:W3CDTF">2026-10-27T09:48:02Z</dcterms:created>
  <dcterms:modified xsi:type="dcterms:W3CDTF">2026-10-27T09:59:11Z</dcterms:modified>
</cp:coreProperties>
</file>